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b val="1"/>
      <color rgb="00FFFFFF"/>
    </font>
    <font>
      <name val="Arial"/>
      <b val="1"/>
    </font>
    <font>
      <name val="Arial"/>
      <color rgb="00008000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4" fontId="6" fillId="0" borderId="0" pivotButton="0" quotePrefix="0" xfId="0"/>
    <xf numFmtId="4" fontId="7" fillId="0" borderId="0" pivotButton="0" quotePrefix="0" xfId="0"/>
    <xf numFmtId="0" fontId="5" fillId="0" borderId="1" pivotButton="0" quotePrefix="0" xfId="0"/>
    <xf numFmtId="4" fontId="7" fillId="0" borderId="1" pivotButton="0" quotePrefix="0" xfId="0"/>
    <xf numFmtId="164" fontId="7" fillId="0" borderId="0" pivotButton="0" quotePrefix="0" xfId="0"/>
    <xf numFmtId="0" fontId="5" fillId="0" borderId="2" pivotButton="0" quotePrefix="0" xfId="0"/>
    <xf numFmtId="164" fontId="7" fillId="0" borderId="2" pivotButton="0" quotePrefix="0" xfId="0"/>
    <xf numFmtId="3" fontId="7" fillId="0" borderId="0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Test Deal - Key Assumptions</t>
        </is>
      </c>
    </row>
    <row r="3">
      <c r="A3" t="inlineStr">
        <is>
          <t>Revenue Cagr</t>
        </is>
      </c>
      <c r="B3" s="2" t="n">
        <v>0.05</v>
      </c>
    </row>
    <row r="4">
      <c r="A4" t="inlineStr">
        <is>
          <t>Avg Ebitda Margin</t>
        </is>
      </c>
      <c r="B4" s="2" t="n">
        <v>0.12</v>
      </c>
    </row>
    <row r="5">
      <c r="A5" t="inlineStr">
        <is>
          <t>Tax Rate</t>
        </is>
      </c>
      <c r="B5" s="2" t="n">
        <v>0.25</v>
      </c>
    </row>
    <row r="6">
      <c r="A6" t="inlineStr">
        <is>
          <t>Da Percent Rev</t>
        </is>
      </c>
      <c r="B6" s="2" t="n">
        <v>0.06</v>
      </c>
    </row>
    <row r="7">
      <c r="A7" t="inlineStr">
        <is>
          <t>Cap Ex Percent Rev</t>
        </is>
      </c>
      <c r="B7" s="2" t="n">
        <v>0.0925</v>
      </c>
    </row>
    <row r="8">
      <c r="A8" t="inlineStr">
        <is>
          <t>Nwc Percent Rev</t>
        </is>
      </c>
      <c r="B8" s="2" t="n">
        <v>0.15</v>
      </c>
    </row>
    <row r="9">
      <c r="A9" t="inlineStr">
        <is>
          <t>Scenario</t>
        </is>
      </c>
      <c r="B9" s="3" t="inlineStr">
        <is>
          <t>Base Case</t>
        </is>
      </c>
    </row>
    <row r="11">
      <c r="A11" t="inlineStr">
        <is>
          <t>WACC</t>
        </is>
      </c>
      <c r="B11" s="4" t="n">
        <v>0.1246</v>
      </c>
    </row>
    <row r="12">
      <c r="A12" t="inlineStr">
        <is>
          <t>Terminal Growth Rate</t>
        </is>
      </c>
      <c r="B12" s="4" t="n">
        <v>0.025</v>
      </c>
    </row>
    <row r="14">
      <c r="A14" s="5" t="inlineStr">
        <is>
          <t>WACC Calculation Breakdown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Test Deal - Financial Projections (INR)</t>
        </is>
      </c>
    </row>
    <row r="3">
      <c r="A3" s="6" t="inlineStr">
        <is>
          <t>Metric</t>
        </is>
      </c>
      <c r="B3" s="6" t="inlineStr">
        <is>
          <t>FY2023A</t>
        </is>
      </c>
      <c r="C3" s="6" t="inlineStr">
        <is>
          <t>FY2024A</t>
        </is>
      </c>
      <c r="D3" s="6" t="inlineStr">
        <is>
          <t>FY2025A</t>
        </is>
      </c>
      <c r="E3" s="6" t="inlineStr">
        <is>
          <t>FY2026E</t>
        </is>
      </c>
      <c r="F3" s="6" t="inlineStr">
        <is>
          <t>FY2027E</t>
        </is>
      </c>
      <c r="G3" s="6" t="inlineStr">
        <is>
          <t>FY2028E</t>
        </is>
      </c>
      <c r="H3" s="6" t="inlineStr">
        <is>
          <t>FY2029E</t>
        </is>
      </c>
      <c r="I3" s="6" t="inlineStr">
        <is>
          <t>FY2030E</t>
        </is>
      </c>
      <c r="J3" s="6" t="inlineStr">
        <is>
          <t>FY2031E</t>
        </is>
      </c>
      <c r="K3" s="6" t="inlineStr">
        <is>
          <t>FY2032E</t>
        </is>
      </c>
    </row>
    <row r="4">
      <c r="A4" s="7" t="inlineStr">
        <is>
          <t>Revenue</t>
        </is>
      </c>
      <c r="B4" s="8" t="n">
        <v>250000000000</v>
      </c>
      <c r="C4" s="8" t="n">
        <v>250000000000</v>
      </c>
      <c r="D4" s="8" t="n">
        <v>250000000000</v>
      </c>
      <c r="E4" s="9" t="n">
        <v>262500000000</v>
      </c>
      <c r="F4" s="9" t="n">
        <v>274687500000</v>
      </c>
      <c r="G4" s="9" t="n">
        <v>286459821428.57</v>
      </c>
      <c r="H4" s="9" t="n">
        <v>297713600127.55</v>
      </c>
      <c r="I4" s="9" t="n">
        <v>308346228703.54</v>
      </c>
      <c r="J4" s="9" t="n">
        <v>318257357483.29</v>
      </c>
      <c r="K4" s="9" t="n">
        <v>327350424839.96</v>
      </c>
    </row>
    <row r="5">
      <c r="A5" s="7" t="inlineStr">
        <is>
          <t xml:space="preserve">  Revenue Growth %</t>
        </is>
      </c>
      <c r="B5" s="8" t="n"/>
      <c r="C5" s="8" t="n">
        <v>0</v>
      </c>
      <c r="D5" s="8" t="n">
        <v>0</v>
      </c>
      <c r="E5" s="9" t="n">
        <v>5</v>
      </c>
      <c r="F5" s="9" t="n">
        <v>4.64</v>
      </c>
      <c r="G5" s="9" t="n">
        <v>4.29</v>
      </c>
      <c r="H5" s="9" t="n">
        <v>3.93</v>
      </c>
      <c r="I5" s="9" t="n">
        <v>3.57</v>
      </c>
      <c r="J5" s="9" t="n">
        <v>3.21</v>
      </c>
      <c r="K5" s="9" t="n">
        <v>2.86</v>
      </c>
    </row>
    <row r="6">
      <c r="A6" s="7" t="inlineStr">
        <is>
          <t>EBITDA</t>
        </is>
      </c>
      <c r="B6" s="8" t="n">
        <v>30000000000</v>
      </c>
      <c r="C6" s="8" t="n">
        <v>30000000000</v>
      </c>
      <c r="D6" s="8" t="n">
        <v>30000000000</v>
      </c>
      <c r="E6" s="9" t="n">
        <v>31500000000</v>
      </c>
      <c r="F6" s="9" t="n">
        <v>32962500000</v>
      </c>
      <c r="G6" s="9" t="n">
        <v>34375178571.43</v>
      </c>
      <c r="H6" s="9" t="n">
        <v>35725632015.31</v>
      </c>
      <c r="I6" s="9" t="n">
        <v>37001547444.42</v>
      </c>
      <c r="J6" s="9" t="n">
        <v>38190882897.99</v>
      </c>
      <c r="K6" s="9" t="n">
        <v>39282050980.79</v>
      </c>
    </row>
    <row r="7">
      <c r="A7" s="7" t="inlineStr">
        <is>
          <t xml:space="preserve">  EBITDA Margin %</t>
        </is>
      </c>
      <c r="B7" s="8" t="n">
        <v>12</v>
      </c>
      <c r="C7" s="8" t="n">
        <v>12</v>
      </c>
      <c r="D7" s="8" t="n">
        <v>12</v>
      </c>
      <c r="E7" s="9" t="n">
        <v>12</v>
      </c>
      <c r="F7" s="9" t="n">
        <v>12</v>
      </c>
      <c r="G7" s="9" t="n">
        <v>12</v>
      </c>
      <c r="H7" s="9" t="n">
        <v>12</v>
      </c>
      <c r="I7" s="9" t="n">
        <v>12</v>
      </c>
      <c r="J7" s="9" t="n">
        <v>12</v>
      </c>
      <c r="K7" s="9" t="n">
        <v>12</v>
      </c>
    </row>
    <row r="8">
      <c r="A8" s="7" t="inlineStr">
        <is>
          <t>Less: D&amp;A</t>
        </is>
      </c>
      <c r="E8" s="9" t="n">
        <v>15750000000</v>
      </c>
      <c r="F8" s="9" t="n">
        <v>16481250000</v>
      </c>
      <c r="G8" s="9" t="n">
        <v>17187589285.71</v>
      </c>
      <c r="H8" s="9" t="n">
        <v>17862816007.65</v>
      </c>
      <c r="I8" s="9" t="n">
        <v>18500773722.21</v>
      </c>
      <c r="J8" s="9" t="n">
        <v>19095441449</v>
      </c>
      <c r="K8" s="9" t="n">
        <v>19641025490.4</v>
      </c>
    </row>
    <row r="9">
      <c r="A9" s="7" t="inlineStr">
        <is>
          <t>EBIT</t>
        </is>
      </c>
      <c r="E9" s="9" t="n">
        <v>15750000000</v>
      </c>
      <c r="F9" s="9" t="n">
        <v>16481250000</v>
      </c>
      <c r="G9" s="9" t="n">
        <v>17187589285.71</v>
      </c>
      <c r="H9" s="9" t="n">
        <v>17862816007.65</v>
      </c>
      <c r="I9" s="9" t="n">
        <v>18500773722.21</v>
      </c>
      <c r="J9" s="9" t="n">
        <v>19095441449</v>
      </c>
      <c r="K9" s="9" t="n">
        <v>19641025490.4</v>
      </c>
    </row>
    <row r="10">
      <c r="A10" s="7" t="inlineStr">
        <is>
          <t>Less: Taxes</t>
        </is>
      </c>
      <c r="E10" s="9" t="n">
        <v>3937500000</v>
      </c>
      <c r="F10" s="9" t="n">
        <v>4120312500</v>
      </c>
      <c r="G10" s="9" t="n">
        <v>4296897321.43</v>
      </c>
      <c r="H10" s="9" t="n">
        <v>4465704001.91</v>
      </c>
      <c r="I10" s="9" t="n">
        <v>4625193430.55</v>
      </c>
      <c r="J10" s="9" t="n">
        <v>4773860362.25</v>
      </c>
      <c r="K10" s="9" t="n">
        <v>4910256372.6</v>
      </c>
    </row>
    <row r="11">
      <c r="A11" s="7" t="inlineStr">
        <is>
          <t>EBIAT</t>
        </is>
      </c>
      <c r="E11" s="9" t="n">
        <v>11812500000</v>
      </c>
      <c r="F11" s="9" t="n">
        <v>12360937500</v>
      </c>
      <c r="G11" s="9" t="n">
        <v>12890691964.29</v>
      </c>
      <c r="H11" s="9" t="n">
        <v>13397112005.74</v>
      </c>
      <c r="I11" s="9" t="n">
        <v>13875580291.66</v>
      </c>
      <c r="J11" s="9" t="n">
        <v>14321581086.75</v>
      </c>
      <c r="K11" s="9" t="n">
        <v>14730769117.8</v>
      </c>
    </row>
    <row r="12">
      <c r="A12" s="7" t="inlineStr">
        <is>
          <t>Plus: D&amp;A</t>
        </is>
      </c>
      <c r="E12" s="9" t="n">
        <v>15750000000</v>
      </c>
      <c r="F12" s="9" t="n">
        <v>16481250000</v>
      </c>
      <c r="G12" s="9" t="n">
        <v>17187589285.71</v>
      </c>
      <c r="H12" s="9" t="n">
        <v>17862816007.65</v>
      </c>
      <c r="I12" s="9" t="n">
        <v>18500773722.21</v>
      </c>
      <c r="J12" s="9" t="n">
        <v>19095441449</v>
      </c>
      <c r="K12" s="9" t="n">
        <v>19641025490.4</v>
      </c>
    </row>
    <row r="13">
      <c r="A13" s="7" t="inlineStr">
        <is>
          <t>Less: CapEx</t>
        </is>
      </c>
      <c r="E13" s="9" t="n">
        <v>24281250000</v>
      </c>
      <c r="F13" s="9" t="n">
        <v>25408593750</v>
      </c>
      <c r="G13" s="9" t="n">
        <v>26497533482.14</v>
      </c>
      <c r="H13" s="9" t="n">
        <v>27538508011.8</v>
      </c>
      <c r="I13" s="9" t="n">
        <v>28522026155.08</v>
      </c>
      <c r="J13" s="9" t="n">
        <v>29438805567.2</v>
      </c>
      <c r="K13" s="9" t="n">
        <v>30279914297.7</v>
      </c>
    </row>
    <row r="14">
      <c r="A14" s="7" t="inlineStr">
        <is>
          <t>Less: Change in NWC</t>
        </is>
      </c>
      <c r="E14" s="9" t="n">
        <v>-5136986301.37</v>
      </c>
      <c r="F14" s="9" t="n">
        <v>1502568493.15</v>
      </c>
      <c r="G14" s="9" t="n">
        <v>1451382093.93</v>
      </c>
      <c r="H14" s="9" t="n">
        <v>1387452168.37</v>
      </c>
      <c r="I14" s="9" t="n">
        <v>1310872016.22</v>
      </c>
      <c r="J14" s="9" t="n">
        <v>1221919986.55</v>
      </c>
      <c r="K14" s="9" t="n">
        <v>1121063098.77</v>
      </c>
    </row>
    <row r="15">
      <c r="A15" s="10" t="inlineStr">
        <is>
          <t>Unlevered Free Cash Flow</t>
        </is>
      </c>
      <c r="E15" s="11" t="n">
        <v>8418236301.37</v>
      </c>
      <c r="F15" s="11" t="n">
        <v>1931025256.85</v>
      </c>
      <c r="G15" s="11" t="n">
        <v>2129365673.92</v>
      </c>
      <c r="H15" s="11" t="n">
        <v>2333967833.23</v>
      </c>
      <c r="I15" s="11" t="n">
        <v>2543455842.58</v>
      </c>
      <c r="J15" s="11" t="n">
        <v>2756296982</v>
      </c>
      <c r="K15" s="11" t="n">
        <v>2970817211.73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Test Deal - DCF Valuation (INR)</t>
        </is>
      </c>
    </row>
    <row r="3">
      <c r="A3" s="6" t="inlineStr">
        <is>
          <t>Metric</t>
        </is>
      </c>
      <c r="B3" s="6" t="inlineStr">
        <is>
          <t>FY2026E</t>
        </is>
      </c>
      <c r="C3" s="6" t="inlineStr">
        <is>
          <t>FY2027E</t>
        </is>
      </c>
      <c r="D3" s="6" t="inlineStr">
        <is>
          <t>FY2028E</t>
        </is>
      </c>
      <c r="E3" s="6" t="inlineStr">
        <is>
          <t>FY2029E</t>
        </is>
      </c>
      <c r="F3" s="6" t="inlineStr">
        <is>
          <t>FY2030E</t>
        </is>
      </c>
      <c r="G3" s="6" t="inlineStr">
        <is>
          <t>FY2031E</t>
        </is>
      </c>
      <c r="H3" s="6" t="inlineStr">
        <is>
          <t>FY2032E</t>
        </is>
      </c>
    </row>
    <row r="4">
      <c r="A4" s="7" t="inlineStr">
        <is>
          <t>Unlevered Free Cash Flow</t>
        </is>
      </c>
      <c r="B4" s="9" t="n">
        <v>8418236301.37</v>
      </c>
      <c r="C4" s="9" t="n">
        <v>1931025256.85</v>
      </c>
      <c r="D4" s="9" t="n">
        <v>2129365673.92</v>
      </c>
      <c r="E4" s="9" t="n">
        <v>2333967833.23</v>
      </c>
      <c r="F4" s="9" t="n">
        <v>2543455842.58</v>
      </c>
      <c r="G4" s="9" t="n">
        <v>2756296982</v>
      </c>
      <c r="H4" s="9" t="n">
        <v>2970817211.73</v>
      </c>
    </row>
    <row r="5">
      <c r="A5" s="7" t="inlineStr">
        <is>
          <t>Discount Factor</t>
        </is>
      </c>
    </row>
    <row r="6">
      <c r="A6" s="7" t="inlineStr">
        <is>
          <t>PV of Free Cash Flow</t>
        </is>
      </c>
    </row>
    <row r="9">
      <c r="A9" s="7" t="inlineStr">
        <is>
          <t>Sum of PV of FCFs</t>
        </is>
      </c>
      <c r="B9" s="12" t="n">
        <v>0</v>
      </c>
    </row>
    <row r="10">
      <c r="A10" s="7" t="inlineStr">
        <is>
          <t>PV of Terminal Value</t>
        </is>
      </c>
      <c r="B10" s="12" t="n">
        <v>0</v>
      </c>
    </row>
    <row r="11">
      <c r="A11" s="13" t="inlineStr">
        <is>
          <t>Implied Enterprise Value</t>
        </is>
      </c>
      <c r="B11" s="14" t="n">
        <v>100000000000</v>
      </c>
    </row>
    <row r="12">
      <c r="A12" s="7" t="inlineStr">
        <is>
          <t>Less: Total Borrowings</t>
        </is>
      </c>
      <c r="B12" s="12" t="n">
        <v>0</v>
      </c>
    </row>
    <row r="13">
      <c r="A13" s="7" t="inlineStr">
        <is>
          <t>Add: Cash &amp; Equivalents</t>
        </is>
      </c>
      <c r="B13" s="12" t="n">
        <v>0</v>
      </c>
    </row>
    <row r="14">
      <c r="A14" s="7" t="inlineStr">
        <is>
          <t>Net Debt</t>
        </is>
      </c>
      <c r="B14" s="12" t="n">
        <v>0</v>
      </c>
    </row>
    <row r="15">
      <c r="A15" s="13" t="inlineStr">
        <is>
          <t>Implied Equity Value</t>
        </is>
      </c>
      <c r="B15" s="14" t="n">
        <v>100000000000</v>
      </c>
    </row>
    <row r="16">
      <c r="A16" s="7" t="inlineStr">
        <is>
          <t>Shares Outstanding</t>
        </is>
      </c>
      <c r="B16" s="15" t="n">
        <v>1</v>
      </c>
    </row>
    <row r="17">
      <c r="A17" s="13" t="inlineStr">
        <is>
          <t>Implied Share Price</t>
        </is>
      </c>
      <c r="B17" s="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Deal - Implied Share Price Sensitivity (INR)</t>
        </is>
      </c>
    </row>
    <row r="3">
      <c r="A3" s="7" t="inlineStr">
        <is>
          <t>Sensitivity: WACC vs. Terminal Growth Rate</t>
        </is>
      </c>
    </row>
    <row r="4">
      <c r="B4" s="12">
        <f>'Valuation'!B17</f>
        <v/>
      </c>
      <c r="C4" s="16" t="n">
        <v>0.015</v>
      </c>
      <c r="D4" s="16" t="n">
        <v>0.02</v>
      </c>
      <c r="E4" s="16" t="n">
        <v>0.025</v>
      </c>
      <c r="F4" s="16" t="n">
        <v>0.03</v>
      </c>
      <c r="G4" s="16" t="n">
        <v>0.035</v>
      </c>
    </row>
    <row r="5">
      <c r="B5" s="16" t="n">
        <v>0.1046</v>
      </c>
      <c r="C5" s="12" t="n">
        <v>33668563287.33677</v>
      </c>
      <c r="D5" s="12" t="n">
        <v>34747354324.76938</v>
      </c>
      <c r="E5" s="12" t="n">
        <v>35961671874.44225</v>
      </c>
      <c r="F5" s="12" t="n">
        <v>37338766575.54582</v>
      </c>
      <c r="G5" s="12" t="n">
        <v>38913719710.71598</v>
      </c>
    </row>
    <row r="6">
      <c r="B6" s="16" t="n">
        <v>0.1146</v>
      </c>
      <c r="C6" s="12" t="n">
        <v>30629257859.9888</v>
      </c>
      <c r="D6" s="12" t="n">
        <v>31451464971.06073</v>
      </c>
      <c r="E6" s="12" t="n">
        <v>32365436268.63622</v>
      </c>
      <c r="F6" s="12" t="n">
        <v>33387441998.54926</v>
      </c>
      <c r="G6" s="12" t="n">
        <v>34537840408.09959</v>
      </c>
    </row>
    <row r="7">
      <c r="B7" s="16" t="n">
        <v>0.1246</v>
      </c>
      <c r="C7" s="12" t="n">
        <v>28144240553.7785</v>
      </c>
      <c r="D7" s="12" t="n">
        <v>28784734784.2394</v>
      </c>
      <c r="E7" s="12" t="n">
        <v>29489535664.34498</v>
      </c>
      <c r="F7" s="12" t="n">
        <v>30268839808.73233</v>
      </c>
      <c r="G7" s="12" t="n">
        <v>31135119862.09148</v>
      </c>
    </row>
    <row r="8">
      <c r="B8" s="16" t="n">
        <v>0.1346</v>
      </c>
      <c r="C8" s="12" t="n">
        <v>26074243836.94476</v>
      </c>
      <c r="D8" s="12" t="n">
        <v>26582255242.68457</v>
      </c>
      <c r="E8" s="12" t="n">
        <v>27136618054.05757</v>
      </c>
      <c r="F8" s="12" t="n">
        <v>27743979222.1584</v>
      </c>
      <c r="G8" s="12" t="n">
        <v>28412320427.21714</v>
      </c>
    </row>
    <row r="9">
      <c r="B9" s="16" t="n">
        <v>0.1446</v>
      </c>
      <c r="C9" s="12" t="n">
        <v>24323004867.82836</v>
      </c>
      <c r="D9" s="12" t="n">
        <v>24732077516.17979</v>
      </c>
      <c r="E9" s="12" t="n">
        <v>25175353563.22281</v>
      </c>
      <c r="F9" s="12" t="n">
        <v>25657309893.60292</v>
      </c>
      <c r="G9" s="12" t="n">
        <v>26183240341.71844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2026-03-04T16:25:35Z</dcterms:created>
  <dcterms:modified xmlns:dcterms="http://purl.org/dc/terms/" xmlns:xsi="http://www.w3.org/2001/XMLSchema-instance" xsi:type="dcterms:W3CDTF">2026-03-04T16:25:35Z</dcterms:modified>
</cp:coreProperties>
</file>